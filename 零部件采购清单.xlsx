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<sst xmlns="http://schemas.openxmlformats.org/spreadsheetml/2006/main" count="53" uniqueCount="46">
  <si>
    <t>序号</t>
  </si>
  <si>
    <t>部件</t>
  </si>
  <si>
    <t>数量</t>
  </si>
  <si>
    <t>价格</t>
  </si>
  <si>
    <t>邮费</t>
  </si>
  <si>
    <t>单价</t>
  </si>
  <si>
    <t>链接</t>
  </si>
  <si>
    <t>5V升压模块</t>
  </si>
  <si>
    <t>https://detail.tmall.com/item.htm?_u=gvj3duda009&amp;id=616191177697&amp;spm=a1z09.2.0.0.6ca32e8dKLthX0</t>
  </si>
  <si>
    <t>12V升压模块（3V-12V宽电压输入，输出12V）</t>
  </si>
  <si>
    <t>https://item.taobao.com/item.htm?spm=a1z09.2.0.0.474c2e8drTfhN8&amp;id=41756085069&amp;_u=g201il72gu9ce8</t>
  </si>
  <si>
    <t>LGT8F328P LQFP32 MiniEVB模块开发板(CH340驱动)（Arduino Nano也可以）</t>
  </si>
  <si>
    <t>https://item.taobao.com/item.htm?spm=a1z0d.7625083.1998302264.6.5c5f4e69ILQFIS&amp;id=648413912304</t>
  </si>
  <si>
    <t>MPU6050</t>
  </si>
  <si>
    <t>https://item.taobao.com/item.htm?spm=a1z09.2.0.0.6ca32e8dKLthX0&amp;id=651224001863&amp;_u=gvj3dudf4c6</t>
  </si>
  <si>
    <r>
      <rPr>
        <sz val="11"/>
        <color theme="1"/>
        <rFont val="等线"/>
        <charset val="134"/>
        <scheme val="minor"/>
      </rPr>
      <t>0.96寸OLED液晶屏</t>
    </r>
    <r>
      <rPr>
        <b/>
        <sz val="11"/>
        <color rgb="FFFF0000"/>
        <rFont val="等线"/>
        <charset val="134"/>
        <scheme val="minor"/>
      </rPr>
      <t>（从左到右引脚顺序——GND-VCC-SCL-SAD）</t>
    </r>
  </si>
  <si>
    <t>https://item.taobao.com/item.htm?spm=a21n57.1.0.0.56e3523cOmyAD7&amp;id=569798968894&amp;ns=1&amp;abbucket=9#detail</t>
  </si>
  <si>
    <t>1S锂电池充电模块（4.2V/type-C）</t>
  </si>
  <si>
    <t>https://item.taobao.com/item.htm?spm=a21n57.1.0.0.37fe523cm9N4C4&amp;id=649995750100&amp;ns=1&amp;abbucket=9#detail</t>
  </si>
  <si>
    <t>1S锂电池 3.7V带保护板450mA 15C 动力锂电池</t>
  </si>
  <si>
    <t>https://item.taobao.com/item.htm?spm=a1z10.3-c.w4002-22505116392.15.74cd5277w1VkeN&amp;id=713100140884</t>
  </si>
  <si>
    <t>无刷电机</t>
  </si>
  <si>
    <t>https://item.taobao.com/item.htm?spm=a1z09.2.0.0.6ca32e8dKLthX0&amp;id=679383269238&amp;_u=gvj3dud94b1</t>
  </si>
  <si>
    <t>PCB</t>
  </si>
  <si>
    <r>
      <rPr>
        <u/>
        <sz val="11"/>
        <color rgb="FF800080"/>
        <rFont val="等线"/>
        <charset val="0"/>
        <scheme val="minor"/>
      </rPr>
      <t>嘉立创</t>
    </r>
    <r>
      <rPr>
        <sz val="11"/>
        <color rgb="FF800080"/>
        <rFont val="等线"/>
        <charset val="0"/>
        <scheme val="minor"/>
      </rPr>
      <t>免费打样</t>
    </r>
  </si>
  <si>
    <t>合计1</t>
  </si>
  <si>
    <t>总价1</t>
  </si>
  <si>
    <t>3D打印外壳</t>
  </si>
  <si>
    <t>嘉立创3D打印(PCB推荐1.2mm厚)</t>
  </si>
  <si>
    <t>动量轮(铁容易生锈)</t>
  </si>
  <si>
    <t>https://item.taobao.com/item.htm?spm=a1z0d.6639537/tb.1997196601.4.6cb57484uIfLJX&amp;id=564811073156</t>
  </si>
  <si>
    <t>规格：42X30X8mm；该动量轮使用V01版的打印件</t>
  </si>
  <si>
    <t>立式贴片小拨动开关(黑色柄2高)</t>
  </si>
  <si>
    <t>https://item.taobao.com/item.htm?spm=a1z09.2.0.0.474c2e8drTfhN8&amp;id=546726563996&amp;_u=g201il72gu3c24</t>
  </si>
  <si>
    <r>
      <rPr>
        <sz val="11"/>
        <rFont val="等线"/>
        <charset val="134"/>
        <scheme val="minor"/>
      </rPr>
      <t>GH1.25带锁扣连接器8p</t>
    </r>
    <r>
      <rPr>
        <b/>
        <sz val="11"/>
        <color rgb="FFFF0000"/>
        <rFont val="等线"/>
        <charset val="134"/>
        <scheme val="minor"/>
      </rPr>
      <t>卧贴</t>
    </r>
    <r>
      <rPr>
        <sz val="11"/>
        <rFont val="等线"/>
        <charset val="134"/>
        <scheme val="minor"/>
      </rPr>
      <t>胶壳端子（卧贴GH1.25-8p）</t>
    </r>
  </si>
  <si>
    <t>https://detail.tmall.com/item.htm?_u=g201il72gu9cfc&amp;id=597410959421&amp;spm=a1z09.2.0.0.6df92e8dz0FTfu</t>
  </si>
  <si>
    <t>35V220UF贴片铝电解电容</t>
  </si>
  <si>
    <t>https://item.taobao.com/item.htm?spm=a1z09.2.0.0.474c2e8drTfhN8&amp;id=610352579545&amp;_u=g201il72gud480</t>
  </si>
  <si>
    <t>M2*5自攻螺钉</t>
  </si>
  <si>
    <t>https://detail.tmall.com/item.htm?_u=g201il72gu2bb6&amp;id=601243836047&amp;spm=a1z09.2.0.0.474c2e8drTfhN8</t>
  </si>
  <si>
    <t>4P排母（IIC和串口通讯接口）</t>
  </si>
  <si>
    <t>https://detail.tmall.com/item.htm?_u=gvj3dud1a95&amp;id=607385892237&amp;spm=a1z09.2.0.0.6ca32e8dKLthX0</t>
  </si>
  <si>
    <r>
      <rPr>
        <sz val="11"/>
        <color theme="1"/>
        <rFont val="等线"/>
        <charset val="134"/>
        <scheme val="minor"/>
      </rPr>
      <t>XH2.54MM接插件连接器插头+直针插座+接线端子2p(</t>
    </r>
    <r>
      <rPr>
        <b/>
        <sz val="11"/>
        <color rgb="FFFF0000"/>
        <rFont val="等线"/>
        <charset val="134"/>
        <scheme val="minor"/>
      </rPr>
      <t>直针</t>
    </r>
    <r>
      <rPr>
        <sz val="11"/>
        <color theme="1"/>
        <rFont val="等线"/>
        <charset val="134"/>
        <scheme val="minor"/>
      </rPr>
      <t>-连接电池)</t>
    </r>
  </si>
  <si>
    <t>https://item.taobao.com/item.htm?spm=a1z09.2.0.0.61032e8d4JkAjk&amp;id=640026220470&amp;_u=8vj3dud5951</t>
  </si>
  <si>
    <t>合计2</t>
  </si>
  <si>
    <t>总价2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</si>
</sst>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0000"/>
      <name val="等线"/>
      <charset val="134"/>
      <scheme val="minor"/>
    </font>
    <font>
      <sz val="11"/>
      <color rgb="FF80008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10" applyFont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1" xfId="1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10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1" fillId="2" borderId="1" xfId="10" applyFont="1" applyFill="1" applyBorder="1" applyAlignment="1">
      <alignment horizontal="left"/>
    </xf>
    <xf numFmtId="0" fontId="3" fillId="2" borderId="0" xfId="0" applyFont="1" applyFill="1" applyAlignment="1">
      <alignment horizontal="left" wrapText="1"/>
    </xf>
    <xf numFmtId="0" fontId="4" fillId="2" borderId="1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1" fillId="2" borderId="0" xfId="10" applyFont="1" applyFill="1" applyAlignment="1">
      <alignment horizontal="left"/>
    </xf>
    <xf numFmtId="0" fontId="0" fillId="0" borderId="0" xfId="0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spm=a21n57.1.0.0.56e3523cOmyAD7&amp;id=569798968894&amp;ns=1&amp;abbucket=9#detail" TargetMode="External"/><Relationship Id="rId8" Type="http://schemas.openxmlformats.org/officeDocument/2006/relationships/hyperlink" Target="https://item.taobao.com/item.htm?spm=a1z09.2.0.0.474c2e8drTfhN8&amp;id=610352579545&amp;_u=g201il72gud480" TargetMode="External"/><Relationship Id="rId7" Type="http://schemas.openxmlformats.org/officeDocument/2006/relationships/hyperlink" Target="https://item.taobao.com/item.htm?spm=a1z09.2.0.0.474c2e8drTfhN8&amp;id=41756085069&amp;_u=g201il72gu9ce8" TargetMode="External"/><Relationship Id="rId6" Type="http://schemas.openxmlformats.org/officeDocument/2006/relationships/hyperlink" Target="https://detail.tmall.com/item.htm?_u=g201il72gu2bb6&amp;id=601243836047&amp;spm=a1z09.2.0.0.474c2e8drTfhN8" TargetMode="External"/><Relationship Id="rId5" Type="http://schemas.openxmlformats.org/officeDocument/2006/relationships/hyperlink" Target="https://item.taobao.com/item.htm?spm=a1z09.2.0.0.474c2e8drTfhN8&amp;id=546726563996&amp;_u=g201il72gu3c24" TargetMode="External"/><Relationship Id="rId4" Type="http://schemas.openxmlformats.org/officeDocument/2006/relationships/hyperlink" Target="https://detail.tmall.com/item.htm?_u=gvj3dud1a95&amp;id=607385892237&amp;spm=a1z09.2.0.0.6ca32e8dKLthX0" TargetMode="External"/><Relationship Id="rId3" Type="http://schemas.openxmlformats.org/officeDocument/2006/relationships/hyperlink" Target="https://item.taobao.com/item.htm?spm=a1z09.2.0.0.6ca32e8dKLthX0&amp;id=679383269238&amp;_u=gvj3dud94b1" TargetMode="External"/><Relationship Id="rId2" Type="http://schemas.openxmlformats.org/officeDocument/2006/relationships/hyperlink" Target="https://detail.tmall.com/item.htm?_u=gvj3duda009&amp;id=616191177697&amp;spm=a1z09.2.0.0.6ca32e8dKLthX0" TargetMode="External"/><Relationship Id="rId15" Type="http://schemas.openxmlformats.org/officeDocument/2006/relationships/hyperlink" Target="https://item.taobao.com/item.htm?spm=a1z09.2.0.0.61032e8d4JkAjk&amp;id=640026220470&amp;_u=8vj3dud5951" TargetMode="External"/><Relationship Id="rId14" Type="http://schemas.openxmlformats.org/officeDocument/2006/relationships/hyperlink" Target="https://item.taobao.com/item.htm?spm=a21n57.1.0.0.37fe523cm9N4C4&amp;id=649995750100&amp;ns=1&amp;abbucket=9#detail" TargetMode="External"/><Relationship Id="rId13" Type="http://schemas.openxmlformats.org/officeDocument/2006/relationships/hyperlink" Target="https://item.taobao.com/item.htm?spm=a1z10.3-c.w4002-22505116392.15.74cd5277w1VkeN&amp;id=713100140884" TargetMode="External"/><Relationship Id="rId12" Type="http://schemas.openxmlformats.org/officeDocument/2006/relationships/hyperlink" Target="https://item.taobao.com/item.htm?spm=a1z0d.7625083.1998302264.6.5c5f4e69ILQFIS&amp;id=648413912304" TargetMode="External"/><Relationship Id="rId11" Type="http://schemas.openxmlformats.org/officeDocument/2006/relationships/hyperlink" Target="https://item.taobao.com/item.htm?spm=a1z0d.6639537/tb.1997196601.4.6cb57484uIfLJX&amp;id=564811073156" TargetMode="External"/><Relationship Id="rId10" Type="http://schemas.openxmlformats.org/officeDocument/2006/relationships/hyperlink" Target="https://detail.tmall.com/item.htm?_u=g201il72gu9cfc&amp;id=597410959421&amp;spm=a1z09.2.0.0.6df92e8dz0FTfu" TargetMode="External"/><Relationship Id="rId1" Type="http://schemas.openxmlformats.org/officeDocument/2006/relationships/hyperlink" Target="https://item.taobao.com/item.htm?spm=a1z09.2.0.0.6ca32e8dKLthX0&amp;id=651224001863&amp;_u=gvj3dudf4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B12" sqref="B12"/>
    </sheetView>
  </sheetViews>
  <sheetFormatPr defaultColWidth="9" defaultRowHeight="14.25" outlineLevelCol="7"/>
  <cols>
    <col min="1" max="1" width="9" style="5"/>
    <col min="2" max="2" width="67.5" style="5" customWidth="1"/>
    <col min="3" max="3" width="9.375" style="5" customWidth="1"/>
    <col min="4" max="4" width="6.375" style="5" customWidth="1"/>
    <col min="5" max="6" width="9.375" style="5" customWidth="1"/>
    <col min="7" max="7" width="96.4333333333333" style="6" customWidth="1"/>
    <col min="8" max="8" width="44.375" style="5" customWidth="1"/>
    <col min="9" max="16384" width="9" style="5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8">
        <v>1</v>
      </c>
      <c r="B2" s="8" t="s">
        <v>7</v>
      </c>
      <c r="C2" s="8">
        <v>1</v>
      </c>
      <c r="D2" s="8">
        <v>5.5</v>
      </c>
      <c r="E2" s="8">
        <v>0</v>
      </c>
      <c r="F2" s="8">
        <f>D2/C2</f>
        <v>5.5</v>
      </c>
      <c r="G2" s="9" t="s">
        <v>8</v>
      </c>
    </row>
    <row r="3" spans="1:7">
      <c r="A3" s="8">
        <v>2</v>
      </c>
      <c r="B3" s="8" t="s">
        <v>9</v>
      </c>
      <c r="C3" s="8">
        <v>1</v>
      </c>
      <c r="D3" s="8">
        <v>6.98</v>
      </c>
      <c r="E3" s="8">
        <v>0</v>
      </c>
      <c r="F3" s="8">
        <f>D3/C3</f>
        <v>6.98</v>
      </c>
      <c r="G3" s="9" t="s">
        <v>10</v>
      </c>
    </row>
    <row r="4" spans="1:7">
      <c r="A4" s="8">
        <v>3</v>
      </c>
      <c r="B4" s="8" t="s">
        <v>11</v>
      </c>
      <c r="C4" s="8">
        <v>1</v>
      </c>
      <c r="D4" s="8">
        <v>8.8</v>
      </c>
      <c r="E4" s="8">
        <v>0</v>
      </c>
      <c r="F4" s="8">
        <f>D4/C4</f>
        <v>8.8</v>
      </c>
      <c r="G4" s="9" t="s">
        <v>12</v>
      </c>
    </row>
    <row r="5" spans="1:7">
      <c r="A5" s="8">
        <v>4</v>
      </c>
      <c r="B5" s="8" t="s">
        <v>13</v>
      </c>
      <c r="C5" s="8">
        <v>1</v>
      </c>
      <c r="D5" s="8">
        <v>6.2</v>
      </c>
      <c r="E5" s="8">
        <v>0</v>
      </c>
      <c r="F5" s="8">
        <f>D5/C5</f>
        <v>6.2</v>
      </c>
      <c r="G5" s="9" t="s">
        <v>14</v>
      </c>
    </row>
    <row r="6" spans="1:7">
      <c r="A6" s="8">
        <v>5</v>
      </c>
      <c r="B6" s="10" t="s">
        <v>15</v>
      </c>
      <c r="C6" s="8">
        <v>1</v>
      </c>
      <c r="D6" s="11">
        <v>6.1</v>
      </c>
      <c r="E6" s="8">
        <v>0</v>
      </c>
      <c r="F6" s="11">
        <f>D6</f>
        <v>6.1</v>
      </c>
      <c r="G6" s="12" t="s">
        <v>16</v>
      </c>
    </row>
    <row r="7" customFormat="1" spans="1:7">
      <c r="A7" s="8">
        <v>6</v>
      </c>
      <c r="B7" s="13" t="s">
        <v>17</v>
      </c>
      <c r="C7" s="8">
        <v>1</v>
      </c>
      <c r="D7" s="8">
        <v>3.9</v>
      </c>
      <c r="E7" s="8">
        <v>0</v>
      </c>
      <c r="F7" s="8">
        <f>D7/C7</f>
        <v>3.9</v>
      </c>
      <c r="G7" s="9" t="s">
        <v>18</v>
      </c>
    </row>
    <row r="8" s="1" customFormat="1" spans="1:7">
      <c r="A8" s="8">
        <v>7</v>
      </c>
      <c r="B8" s="14" t="s">
        <v>19</v>
      </c>
      <c r="C8" s="13">
        <v>1</v>
      </c>
      <c r="D8" s="13">
        <v>4.5</v>
      </c>
      <c r="E8" s="15">
        <v>7</v>
      </c>
      <c r="F8" s="13">
        <v>4.5</v>
      </c>
      <c r="G8" s="16" t="s">
        <v>20</v>
      </c>
    </row>
    <row r="9" ht="13" customHeight="1" spans="1:7">
      <c r="A9" s="8">
        <v>8</v>
      </c>
      <c r="B9" s="8" t="s">
        <v>21</v>
      </c>
      <c r="C9" s="8">
        <v>1</v>
      </c>
      <c r="D9" s="8">
        <v>5.8</v>
      </c>
      <c r="E9" s="17"/>
      <c r="F9" s="8">
        <f>D9/C9</f>
        <v>5.8</v>
      </c>
      <c r="G9" s="9" t="s">
        <v>22</v>
      </c>
    </row>
    <row r="10" customFormat="1" ht="13" customHeight="1" spans="1:8">
      <c r="A10" s="8">
        <v>9</v>
      </c>
      <c r="B10" s="8" t="s">
        <v>23</v>
      </c>
      <c r="C10" s="8">
        <v>1</v>
      </c>
      <c r="D10" s="8">
        <v>0</v>
      </c>
      <c r="E10" s="11">
        <v>0</v>
      </c>
      <c r="F10" s="8">
        <v>0</v>
      </c>
      <c r="G10" s="9" t="s">
        <v>24</v>
      </c>
      <c r="H10" s="5"/>
    </row>
    <row r="11" customFormat="1" ht="13" customHeight="1" spans="1:8">
      <c r="A11" s="18" t="s">
        <v>25</v>
      </c>
      <c r="B11" s="18"/>
      <c r="C11" s="18"/>
      <c r="D11" s="18">
        <f>SUM(D2:D10)</f>
        <v>47.78</v>
      </c>
      <c r="E11" s="18">
        <f>SUM(E2:E10)</f>
        <v>7</v>
      </c>
      <c r="F11" s="18">
        <f>SUM(F2:F10)</f>
        <v>47.78</v>
      </c>
      <c r="G11" s="9"/>
      <c r="H11" s="5"/>
    </row>
    <row r="12" s="2" customFormat="1" spans="1:8">
      <c r="A12" s="19"/>
      <c r="B12" s="19"/>
      <c r="C12" s="19"/>
      <c r="D12" s="19"/>
      <c r="E12" s="19"/>
      <c r="F12" s="19"/>
      <c r="G12" s="20"/>
      <c r="H12" s="3"/>
    </row>
    <row r="13" s="2" customFormat="1" spans="1:8">
      <c r="A13" s="19"/>
      <c r="B13" s="19"/>
      <c r="C13" s="19" t="s">
        <v>26</v>
      </c>
      <c r="D13" s="19">
        <f>D11+E11</f>
        <v>54.78</v>
      </c>
      <c r="E13" s="19"/>
      <c r="F13" s="19"/>
      <c r="G13" s="20"/>
      <c r="H13" s="3"/>
    </row>
    <row r="14" s="2" customFormat="1" spans="1:8">
      <c r="A14" s="19"/>
      <c r="B14" s="19"/>
      <c r="C14" s="19"/>
      <c r="D14" s="19"/>
      <c r="E14" s="19"/>
      <c r="F14" s="19"/>
      <c r="G14" s="20"/>
      <c r="H14" s="3"/>
    </row>
    <row r="15" s="2" customFormat="1" spans="1:8">
      <c r="A15" s="19"/>
      <c r="B15" s="19"/>
      <c r="C15" s="19"/>
      <c r="D15" s="19"/>
      <c r="E15" s="19"/>
      <c r="F15" s="19"/>
      <c r="G15" s="20"/>
      <c r="H15" s="3"/>
    </row>
    <row r="16" s="3" customFormat="1" spans="1:8">
      <c r="A16" s="7" t="s">
        <v>0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5"/>
    </row>
    <row r="17" s="4" customFormat="1" spans="1:7">
      <c r="A17" s="21">
        <v>9</v>
      </c>
      <c r="B17" s="21" t="s">
        <v>27</v>
      </c>
      <c r="C17" s="21">
        <v>1</v>
      </c>
      <c r="D17" s="21">
        <v>6.5</v>
      </c>
      <c r="E17" s="21">
        <v>5</v>
      </c>
      <c r="F17" s="21">
        <f>D17/C17</f>
        <v>6.5</v>
      </c>
      <c r="G17" s="22" t="s">
        <v>28</v>
      </c>
    </row>
    <row r="18" s="4" customFormat="1" spans="1:8">
      <c r="A18" s="21">
        <v>10</v>
      </c>
      <c r="B18" s="23" t="s">
        <v>29</v>
      </c>
      <c r="C18" s="23">
        <v>1</v>
      </c>
      <c r="D18" s="21">
        <v>2.5</v>
      </c>
      <c r="E18" s="21">
        <v>5</v>
      </c>
      <c r="F18" s="21">
        <v>2.5</v>
      </c>
      <c r="G18" s="24" t="s">
        <v>30</v>
      </c>
      <c r="H18" s="25" t="s">
        <v>31</v>
      </c>
    </row>
    <row r="19" s="4" customFormat="1" spans="1:7">
      <c r="A19" s="21">
        <v>11</v>
      </c>
      <c r="B19" s="26" t="s">
        <v>32</v>
      </c>
      <c r="C19" s="21">
        <v>5</v>
      </c>
      <c r="D19" s="21">
        <v>0.8</v>
      </c>
      <c r="E19" s="21">
        <v>2</v>
      </c>
      <c r="F19" s="21">
        <f>D19/C19</f>
        <v>0.16</v>
      </c>
      <c r="G19" s="24" t="s">
        <v>33</v>
      </c>
    </row>
    <row r="20" s="4" customFormat="1" spans="1:7">
      <c r="A20" s="21">
        <v>12</v>
      </c>
      <c r="B20" s="26" t="s">
        <v>34</v>
      </c>
      <c r="C20" s="21">
        <v>20</v>
      </c>
      <c r="D20" s="21">
        <v>6.6</v>
      </c>
      <c r="E20" s="21">
        <v>0</v>
      </c>
      <c r="F20" s="21">
        <f>D20/C20</f>
        <v>0.33</v>
      </c>
      <c r="G20" s="24" t="s">
        <v>35</v>
      </c>
    </row>
    <row r="21" s="4" customFormat="1" spans="1:7">
      <c r="A21" s="21">
        <v>13</v>
      </c>
      <c r="B21" s="26" t="s">
        <v>36</v>
      </c>
      <c r="C21" s="21">
        <v>10</v>
      </c>
      <c r="D21" s="21">
        <v>3.5</v>
      </c>
      <c r="E21" s="21">
        <v>0</v>
      </c>
      <c r="F21" s="21">
        <f>D21/C21</f>
        <v>0.35</v>
      </c>
      <c r="G21" s="24" t="s">
        <v>37</v>
      </c>
    </row>
    <row r="22" s="4" customFormat="1" spans="1:7">
      <c r="A22" s="21">
        <v>14</v>
      </c>
      <c r="B22" s="21" t="s">
        <v>38</v>
      </c>
      <c r="C22" s="21">
        <v>200</v>
      </c>
      <c r="D22" s="21">
        <v>1.61</v>
      </c>
      <c r="E22" s="21">
        <v>0</v>
      </c>
      <c r="F22" s="21">
        <f>D22/C22</f>
        <v>0.00805</v>
      </c>
      <c r="G22" s="24" t="s">
        <v>39</v>
      </c>
    </row>
    <row r="23" s="4" customFormat="1" spans="1:7">
      <c r="A23" s="21">
        <v>15</v>
      </c>
      <c r="B23" s="21" t="s">
        <v>40</v>
      </c>
      <c r="C23" s="21">
        <v>20</v>
      </c>
      <c r="D23" s="21">
        <v>1.92</v>
      </c>
      <c r="E23" s="21">
        <v>0</v>
      </c>
      <c r="F23" s="21">
        <f>D23/C23</f>
        <v>0.096</v>
      </c>
      <c r="G23" s="24" t="s">
        <v>41</v>
      </c>
    </row>
    <row r="24" s="4" customFormat="1" spans="1:7">
      <c r="A24" s="21">
        <v>16</v>
      </c>
      <c r="B24" s="27" t="s">
        <v>42</v>
      </c>
      <c r="C24" s="4">
        <v>50</v>
      </c>
      <c r="D24" s="4">
        <v>3.8</v>
      </c>
      <c r="E24" s="4">
        <v>0</v>
      </c>
      <c r="F24" s="4">
        <f>D24/50</f>
        <v>0.076</v>
      </c>
      <c r="G24" s="28" t="s">
        <v>43</v>
      </c>
    </row>
    <row r="25" spans="1:7">
      <c r="A25" s="18" t="s">
        <v>44</v>
      </c>
      <c r="B25" s="18"/>
      <c r="C25" s="18"/>
      <c r="D25" s="18">
        <f>SUM(D17:D24)</f>
        <v>27.23</v>
      </c>
      <c r="E25" s="18">
        <f>SUM(E17:E24)</f>
        <v>12</v>
      </c>
      <c r="F25" s="18">
        <f>SUM(F17:F24)</f>
        <v>10.02005</v>
      </c>
      <c r="G25" s="9"/>
    </row>
    <row r="27" spans="3:4">
      <c r="C27" s="19" t="s">
        <v>45</v>
      </c>
      <c r="D27" s="19">
        <f>D25+E25</f>
        <v>39.23</v>
      </c>
    </row>
    <row r="28" spans="7:7">
      <c r="G28" s="29"/>
    </row>
  </sheetData>
  <mergeCells count="3">
    <mergeCell ref="A11:C11"/>
    <mergeCell ref="A25:C25"/>
    <mergeCell ref="E8:E9"/>
  </mergeCells>
  <hyperlinks>
    <hyperlink ref="G5" r:id="rId1" display="https://item.taobao.com/item.htm?spm=a1z09.2.0.0.6ca32e8dKLthX0&amp;id=651224001863&amp;_u=gvj3dudf4c6"/>
    <hyperlink ref="G2" r:id="rId2" display="https://detail.tmall.com/item.htm?_u=gvj3duda009&amp;id=616191177697&amp;spm=a1z09.2.0.0.6ca32e8dKLthX0"/>
    <hyperlink ref="G9" r:id="rId3" display="https://item.taobao.com/item.htm?spm=a1z09.2.0.0.6ca32e8dKLthX0&amp;id=679383269238&amp;_u=gvj3dud94b1"/>
    <hyperlink ref="G23" r:id="rId4" display="https://detail.tmall.com/item.htm?_u=gvj3dud1a95&amp;id=607385892237&amp;spm=a1z09.2.0.0.6ca32e8dKLthX0"/>
    <hyperlink ref="G19" r:id="rId5" display="https://item.taobao.com/item.htm?spm=a1z09.2.0.0.474c2e8drTfhN8&amp;id=546726563996&amp;_u=g201il72gu3c24" tooltip="https://item.taobao.com/item.htm?spm=a1z09.2.0.0.474c2e8drTfhN8&amp;id=546726563996&amp;_u=g201il72gu3c24"/>
    <hyperlink ref="G22" r:id="rId6" display="https://detail.tmall.com/item.htm?_u=g201il72gu2bb6&amp;id=601243836047&amp;spm=a1z09.2.0.0.474c2e8drTfhN8"/>
    <hyperlink ref="G3" r:id="rId7" display="https://item.taobao.com/item.htm?spm=a1z09.2.0.0.474c2e8drTfhN8&amp;id=41756085069&amp;_u=g201il72gu9ce8"/>
    <hyperlink ref="G21" r:id="rId8" display="https://item.taobao.com/item.htm?spm=a1z09.2.0.0.474c2e8drTfhN8&amp;id=610352579545&amp;_u=g201il72gud480" tooltip="https://item.taobao.com/item.htm?spm=a1z09.2.0.0.474c2e8drTfhN8&amp;id=610352579545&amp;_u=g201il72gud480"/>
    <hyperlink ref="G6" r:id="rId9" display="https://item.taobao.com/item.htm?spm=a21n57.1.0.0.56e3523cOmyAD7&amp;id=569798968894&amp;ns=1&amp;abbucket=9#detail" tooltip="https://item.taobao.com/item.htm?spm=a21n57.1.0.0.56e3523cOmyAD7&amp;id=569798968894&amp;ns=1&amp;abbucket=9#detail"/>
    <hyperlink ref="G20" r:id="rId10" display="https://detail.tmall.com/item.htm?_u=g201il72gu9cfc&amp;id=597410959421&amp;spm=a1z09.2.0.0.6df92e8dz0FTfu"/>
    <hyperlink ref="G18" r:id="rId11" display="https://item.taobao.com/item.htm?spm=a1z0d.6639537/tb.1997196601.4.6cb57484uIfLJX&amp;id=564811073156"/>
    <hyperlink ref="G4" r:id="rId12" display="https://item.taobao.com/item.htm?spm=a1z0d.7625083.1998302264.6.5c5f4e69ILQFIS&amp;id=648413912304"/>
    <hyperlink ref="G8" r:id="rId13" display="https://item.taobao.com/item.htm?spm=a1z10.3-c.w4002-22505116392.15.74cd5277w1VkeN&amp;id=713100140884"/>
    <hyperlink ref="G7" r:id="rId14" display="https://item.taobao.com/item.htm?spm=a21n57.1.0.0.37fe523cm9N4C4&amp;id=649995750100&amp;ns=1&amp;abbucket=9#detail"/>
    <hyperlink ref="G24" r:id="rId15" display="https://item.taobao.com/item.htm?spm=a1z09.2.0.0.61032e8d4JkAjk&amp;id=640026220470&amp;_u=8vj3dud5951"/>
  </hyperlinks>
  <pageMargins left="0.7" right="0.7" top="0.75" bottom="0.75" header="0.3" footer="0.3"/>
  <pageSetup paperSize="1" scale="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DGP</dc:creator>
  <cp:lastModifiedBy>DGP</cp:lastModifiedBy>
  <dcterms:created xsi:type="dcterms:W3CDTF">2015-06-05T18:17:00Z</dcterms:created>
  <dcterms:modified xsi:type="dcterms:W3CDTF">2023-12-08T08:15:13Z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130DE0A6DEFE4DAD8E89CC86263E2CFC</vt:lpwstr>
  </property>
</Properties>
</file>